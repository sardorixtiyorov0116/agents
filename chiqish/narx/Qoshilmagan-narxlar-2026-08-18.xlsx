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AGENTS\agentlar-tizimi\chiqish\narx\"/>
    </mc:Choice>
  </mc:AlternateContent>
  <xr:revisionPtr revIDLastSave="0" documentId="13_ncr:1_{7EF4A5FF-75BD-48D5-9A48-E4DEC1107404}" xr6:coauthVersionLast="45" xr6:coauthVersionMax="45" xr10:uidLastSave="{00000000-0000-0000-0000-000000000000}"/>
  <bookViews>
    <workbookView xWindow="705" yWindow="900" windowWidth="28080" windowHeight="11295" xr2:uid="{00000000-000D-0000-FFFF-FFFF00000000}"/>
  </bookViews>
  <sheets>
    <sheet name="Qo'shilmagan narxl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1" i="1" l="1"/>
  <c r="B11" i="1"/>
  <c r="C10" i="1"/>
  <c r="B10" i="1"/>
  <c r="C9" i="1"/>
  <c r="B9" i="1"/>
  <c r="C8" i="1"/>
  <c r="C12" i="1" s="1"/>
  <c r="B8" i="1"/>
  <c r="B12" i="1" s="1"/>
</calcChain>
</file>

<file path=xl/sharedStrings.xml><?xml version="1.0" encoding="utf-8"?>
<sst xmlns="http://schemas.openxmlformats.org/spreadsheetml/2006/main" count="259" uniqueCount="118">
  <si>
    <t>QO'SHILMAGAN NARXLAR — CLIMAVENT KATALOGI</t>
  </si>
  <si>
    <t>Manba: New Лист Microsoft Excel.xlsx (buxgalteriya), 18.08.2026. Olingan ustun: har blokning ENG OXIRGI «Цена USD с НДС» ustuni.</t>
  </si>
  <si>
    <t>Narx backendda `product_model_inside.price` da DOLLARDA saqlanadi. So'm narxi saqlanmaydi — kursga ko'paytirib hisoblanadi.</t>
  </si>
  <si>
    <t>Quyidagi qatorlar YOZILMAGAN. Sabablari har bo'limning ustida.</t>
  </si>
  <si>
    <t>XULOSA</t>
  </si>
  <si>
    <t>Bo'lim</t>
  </si>
  <si>
    <t>Qator soni</t>
  </si>
  <si>
    <t>Jami summa, USD</t>
  </si>
  <si>
    <t>1-bo'lim</t>
  </si>
  <si>
    <t>2-bo'lim</t>
  </si>
  <si>
    <t>3-bo'lim</t>
  </si>
  <si>
    <t>4-bo'lim</t>
  </si>
  <si>
    <t>JAMI</t>
  </si>
  <si>
    <t>1-BO'LIM.  `product_models` jadvalida turibdi — DOLLAR YOZIB BO'LMAYDI  —  20 ta</t>
  </si>
  <si>
    <t>№</t>
  </si>
  <si>
    <t>Oila</t>
  </si>
  <si>
    <t>Model</t>
  </si>
  <si>
    <t>Quvvat, kVt</t>
  </si>
  <si>
    <t>Aylanish, ayl/min</t>
  </si>
  <si>
    <t>Narx, USD</t>
  </si>
  <si>
    <t>Backend id</t>
  </si>
  <si>
    <t>Nima qilish kerak</t>
  </si>
  <si>
    <t>РКВ</t>
  </si>
  <si>
    <t>РКВ-150</t>
  </si>
  <si>
    <t>Backend qarori kerak: yo `product_model_inside` ga ko'chirilsin, yo `product_models` ga USD ustuni qo'shilsin</t>
  </si>
  <si>
    <t>РКВ1-260</t>
  </si>
  <si>
    <t>ДР</t>
  </si>
  <si>
    <t>ДР100</t>
  </si>
  <si>
    <t>ДР110</t>
  </si>
  <si>
    <t>ДР150</t>
  </si>
  <si>
    <t>ДР180</t>
  </si>
  <si>
    <t>ДР200</t>
  </si>
  <si>
    <t>ДР250</t>
  </si>
  <si>
    <t>ДР300</t>
  </si>
  <si>
    <t>ДР315</t>
  </si>
  <si>
    <t>ДР350</t>
  </si>
  <si>
    <t>ДР400</t>
  </si>
  <si>
    <t>ДР450</t>
  </si>
  <si>
    <t>ДР500</t>
  </si>
  <si>
    <t>ДР550</t>
  </si>
  <si>
    <t>ДР600</t>
  </si>
  <si>
    <t>ДР630</t>
  </si>
  <si>
    <t>ДР710</t>
  </si>
  <si>
    <t>ДР800</t>
  </si>
  <si>
    <t>ДР1000</t>
  </si>
  <si>
    <t>2-BO'LIM.  Backendda UMUMAN yo'q — yangi qator yaratish kerak  —  11 ta</t>
  </si>
  <si>
    <t>ВЦ 14-46</t>
  </si>
  <si>
    <t>ВЦ 14-46 №2</t>
  </si>
  <si>
    <t>POST /api/product-model-inside</t>
  </si>
  <si>
    <t>ВР</t>
  </si>
  <si>
    <t>Вентилятор ВР 2,5 А</t>
  </si>
  <si>
    <t>Вентилятор ВР 3 А</t>
  </si>
  <si>
    <t>Вентилятор ВР 3,5 А</t>
  </si>
  <si>
    <t>ВКПП</t>
  </si>
  <si>
    <t>ВКПП/ВКПП-Ш 40х20-1,8</t>
  </si>
  <si>
    <t>ВКПП 70х40-2DM31</t>
  </si>
  <si>
    <t>ВКПП 80х50-4D40</t>
  </si>
  <si>
    <t>КПР</t>
  </si>
  <si>
    <t>КПР 40-20</t>
  </si>
  <si>
    <t>КПР 50-30</t>
  </si>
  <si>
    <t>КПР 60-30</t>
  </si>
  <si>
    <t>КПР 80-50</t>
  </si>
  <si>
    <t>3-BO'LIM.  ВЦ 4-75 — birinchi fayldan qolgan  —  6 ta</t>
  </si>
  <si>
    <t>ВЦ 4-75</t>
  </si>
  <si>
    <t>ВЦ 4-75-2,5</t>
  </si>
  <si>
    <t>ВЦ 4-75-3,15</t>
  </si>
  <si>
    <t>ВЦ 4-75-4</t>
  </si>
  <si>
    <t>ВЦ 4-75-8</t>
  </si>
  <si>
    <t>ВЦ 4-75-10</t>
  </si>
  <si>
    <t>ВЦ 4-75-12,5</t>
  </si>
  <si>
    <t>4-BO'LIM.  Excelda narx qo'yilmagan («-» turibdi)  —  22 ta</t>
  </si>
  <si>
    <t>ВКП</t>
  </si>
  <si>
    <t>ВКП 80х50-4D40</t>
  </si>
  <si>
    <t>Buxgalteriyadan narx so'rash</t>
  </si>
  <si>
    <t>ВКП 90х50-4D45</t>
  </si>
  <si>
    <t>ВКПП 90х50-4D40</t>
  </si>
  <si>
    <t>РКВ-038</t>
  </si>
  <si>
    <t>РКВ-060</t>
  </si>
  <si>
    <t>РКВ-075</t>
  </si>
  <si>
    <t>РКВ-110</t>
  </si>
  <si>
    <t>РКВ1-160</t>
  </si>
  <si>
    <t>РКВ1-310</t>
  </si>
  <si>
    <t>РКВ1-400</t>
  </si>
  <si>
    <t>КПР 50-25</t>
  </si>
  <si>
    <t>КПР 60-35</t>
  </si>
  <si>
    <t>КПР 70-40</t>
  </si>
  <si>
    <t>КПР 90-50</t>
  </si>
  <si>
    <t>КПР 100-50</t>
  </si>
  <si>
    <t>ДР120</t>
  </si>
  <si>
    <t>ДР230</t>
  </si>
  <si>
    <t>ДР650</t>
  </si>
  <si>
    <t>ДР750</t>
  </si>
  <si>
    <t>ДР900</t>
  </si>
  <si>
    <t>ДР1100</t>
  </si>
  <si>
    <t>ДР1200</t>
  </si>
  <si>
    <t>5-BO'LIM.  Backendda TAKRORLANGAN nom  —  9 ta</t>
  </si>
  <si>
    <t>Nomi</t>
  </si>
  <si>
    <t>Nechta yozuv</t>
  </si>
  <si>
    <t>Yozuv id'lari</t>
  </si>
  <si>
    <t>ГТП 200x100 1000</t>
  </si>
  <si>
    <t>445, 945</t>
  </si>
  <si>
    <t>Bir xil nomda bir nechta yozuv — qaysi biriga narx yozishni bilib bo'lmaydi. Backendda tozalansin</t>
  </si>
  <si>
    <t>ГТП 300x200 1000</t>
  </si>
  <si>
    <t>446, 946</t>
  </si>
  <si>
    <t>ГТП 400x200 1000</t>
  </si>
  <si>
    <t>447, 947</t>
  </si>
  <si>
    <t>ГТП 400x300 1000</t>
  </si>
  <si>
    <t>448, 948</t>
  </si>
  <si>
    <t>ГТП 400x400 1000</t>
  </si>
  <si>
    <t>449, 949</t>
  </si>
  <si>
    <t>КОГ 400х400</t>
  </si>
  <si>
    <t>498, 499</t>
  </si>
  <si>
    <t>КГП 30-15 (10)</t>
  </si>
  <si>
    <t>619, 621</t>
  </si>
  <si>
    <t>КГП 40-20 (10)</t>
  </si>
  <si>
    <t>620, 622</t>
  </si>
  <si>
    <t>ДКСп 500х300х350</t>
  </si>
  <si>
    <t>644, 645, 655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</si>
</sst>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A9D08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" fontId="1" fillId="4" borderId="1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tabSelected="1" workbookViewId="0">
      <pane ySplit="1" topLeftCell="A74" activePane="bottomLeft" state="frozen"/>
      <selection pane="bottomLeft" activeCell="I83" sqref="I83"/>
    </sheetView>
  </sheetViews>
  <sheetFormatPr defaultRowHeight="15" x14ac:dyDescent="0.25"/>
  <cols>
    <col min="1" max="1" width="20.5703125" customWidth="1"/>
    <col min="2" max="2" width="10" customWidth="1"/>
    <col min="3" max="3" width="26" customWidth="1"/>
    <col min="4" max="4" width="12" customWidth="1"/>
    <col min="5" max="5" width="15" customWidth="1"/>
    <col min="6" max="6" width="12" customWidth="1"/>
    <col min="7" max="7" width="11" customWidth="1"/>
    <col min="8" max="8" width="44" customWidth="1"/>
  </cols>
  <sheetData>
    <row r="1" spans="1:8" ht="21.95" customHeight="1" x14ac:dyDescent="0.25">
      <c r="A1" s="8" t="s">
        <v>0</v>
      </c>
      <c r="B1" s="9"/>
      <c r="C1" s="9"/>
      <c r="D1" s="9"/>
      <c r="E1" s="9"/>
      <c r="F1" s="9"/>
      <c r="G1" s="9"/>
      <c r="H1" s="9"/>
    </row>
    <row r="2" spans="1:8" ht="18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</row>
    <row r="3" spans="1:8" ht="18" customHeight="1" x14ac:dyDescent="0.25">
      <c r="A3" s="11" t="s">
        <v>2</v>
      </c>
      <c r="B3" s="12"/>
      <c r="C3" s="12"/>
      <c r="D3" s="12"/>
      <c r="E3" s="12"/>
      <c r="F3" s="12"/>
      <c r="G3" s="12"/>
      <c r="H3" s="12"/>
    </row>
    <row r="4" spans="1:8" ht="18" customHeight="1" x14ac:dyDescent="0.25">
      <c r="A4" s="11" t="s">
        <v>3</v>
      </c>
      <c r="B4" s="12"/>
      <c r="C4" s="12"/>
      <c r="D4" s="12"/>
      <c r="E4" s="12"/>
      <c r="F4" s="12"/>
      <c r="G4" s="12"/>
      <c r="H4" s="12"/>
    </row>
    <row r="6" spans="1:8" ht="15.75" x14ac:dyDescent="0.25">
      <c r="A6" s="10" t="s">
        <v>4</v>
      </c>
      <c r="B6" s="9"/>
      <c r="C6" s="9"/>
      <c r="D6" s="9"/>
      <c r="E6" s="9"/>
      <c r="F6" s="9"/>
      <c r="G6" s="9"/>
      <c r="H6" s="9"/>
    </row>
    <row r="7" spans="1:8" ht="31.5" x14ac:dyDescent="0.25">
      <c r="A7" s="1" t="s">
        <v>5</v>
      </c>
      <c r="B7" s="1" t="s">
        <v>6</v>
      </c>
      <c r="C7" s="1" t="s">
        <v>7</v>
      </c>
    </row>
    <row r="8" spans="1:8" ht="47.25" x14ac:dyDescent="0.25">
      <c r="A8" s="2" t="s">
        <v>8</v>
      </c>
      <c r="B8" s="2">
        <f>COUNTA(C16:C35)</f>
        <v>20</v>
      </c>
      <c r="C8" s="3">
        <f>SUM(F16:F35)</f>
        <v>4749</v>
      </c>
    </row>
    <row r="9" spans="1:8" ht="47.25" x14ac:dyDescent="0.25">
      <c r="A9" s="2" t="s">
        <v>9</v>
      </c>
      <c r="B9" s="2">
        <f>COUNTA(C39:C49)</f>
        <v>11</v>
      </c>
      <c r="C9" s="3">
        <f>SUM(F39:F49)</f>
        <v>3630.01</v>
      </c>
    </row>
    <row r="10" spans="1:8" ht="47.25" x14ac:dyDescent="0.25">
      <c r="A10" s="2" t="s">
        <v>10</v>
      </c>
      <c r="B10" s="2">
        <f>COUNTA(C53:C58)</f>
        <v>6</v>
      </c>
      <c r="C10" s="3">
        <f>SUM(F53:F58)</f>
        <v>7845.66</v>
      </c>
    </row>
    <row r="11" spans="1:8" ht="47.25" x14ac:dyDescent="0.25">
      <c r="A11" s="2" t="s">
        <v>11</v>
      </c>
      <c r="B11" s="2">
        <f>COUNTA(C62:C83)</f>
        <v>22</v>
      </c>
      <c r="C11" s="3">
        <f>SUM(F62:F83)</f>
        <v>0</v>
      </c>
    </row>
    <row r="12" spans="1:8" ht="31.5" x14ac:dyDescent="0.25">
      <c r="A12" s="4" t="s">
        <v>12</v>
      </c>
      <c r="B12" s="4">
        <f>SUM(B8:B11)</f>
        <v>59</v>
      </c>
      <c r="C12" s="5">
        <f>SUM(C8:C11)</f>
        <v>16224.67</v>
      </c>
    </row>
    <row r="14" spans="1:8" ht="21.95" customHeight="1" x14ac:dyDescent="0.25">
      <c r="A14" s="8" t="s">
        <v>13</v>
      </c>
      <c r="B14" s="9"/>
      <c r="C14" s="9"/>
      <c r="D14" s="9"/>
      <c r="E14" s="9"/>
      <c r="F14" s="9"/>
      <c r="G14" s="9"/>
      <c r="H14" s="9"/>
    </row>
    <row r="15" spans="1:8" ht="32.1" customHeight="1" x14ac:dyDescent="0.25">
      <c r="A15" s="1" t="s">
        <v>14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19</v>
      </c>
      <c r="G15" s="1" t="s">
        <v>20</v>
      </c>
      <c r="H15" s="1" t="s">
        <v>21</v>
      </c>
    </row>
    <row r="16" spans="1:8" ht="47.25" x14ac:dyDescent="0.25">
      <c r="A16" s="2">
        <v>1</v>
      </c>
      <c r="B16" s="2" t="s">
        <v>22</v>
      </c>
      <c r="C16" s="2" t="s">
        <v>23</v>
      </c>
      <c r="D16" s="2"/>
      <c r="E16" s="2"/>
      <c r="F16" s="6">
        <v>1154</v>
      </c>
      <c r="G16" s="2">
        <v>1573</v>
      </c>
      <c r="H16" s="2" t="s">
        <v>24</v>
      </c>
    </row>
    <row r="17" spans="1:8" ht="47.25" x14ac:dyDescent="0.25">
      <c r="A17" s="2">
        <v>2</v>
      </c>
      <c r="B17" s="2" t="s">
        <v>22</v>
      </c>
      <c r="C17" s="2" t="s">
        <v>25</v>
      </c>
      <c r="D17" s="2"/>
      <c r="E17" s="2"/>
      <c r="F17" s="6">
        <v>1607</v>
      </c>
      <c r="G17" s="2">
        <v>1575</v>
      </c>
      <c r="H17" s="2" t="s">
        <v>24</v>
      </c>
    </row>
    <row r="18" spans="1:8" ht="47.25" x14ac:dyDescent="0.25">
      <c r="A18" s="2">
        <v>3</v>
      </c>
      <c r="B18" s="2" t="s">
        <v>26</v>
      </c>
      <c r="C18" s="2" t="s">
        <v>27</v>
      </c>
      <c r="D18" s="2"/>
      <c r="E18" s="2"/>
      <c r="F18" s="6">
        <v>56</v>
      </c>
      <c r="G18" s="2">
        <v>228</v>
      </c>
      <c r="H18" s="2" t="s">
        <v>24</v>
      </c>
    </row>
    <row r="19" spans="1:8" ht="47.25" x14ac:dyDescent="0.25">
      <c r="A19" s="2">
        <v>4</v>
      </c>
      <c r="B19" s="2" t="s">
        <v>26</v>
      </c>
      <c r="C19" s="2" t="s">
        <v>28</v>
      </c>
      <c r="D19" s="2"/>
      <c r="E19" s="2"/>
      <c r="F19" s="6">
        <v>48</v>
      </c>
      <c r="G19" s="2">
        <v>229</v>
      </c>
      <c r="H19" s="2" t="s">
        <v>24</v>
      </c>
    </row>
    <row r="20" spans="1:8" ht="47.25" x14ac:dyDescent="0.25">
      <c r="A20" s="2">
        <v>5</v>
      </c>
      <c r="B20" s="2" t="s">
        <v>26</v>
      </c>
      <c r="C20" s="2" t="s">
        <v>29</v>
      </c>
      <c r="D20" s="2"/>
      <c r="E20" s="2"/>
      <c r="F20" s="6">
        <v>59</v>
      </c>
      <c r="G20" s="2">
        <v>231</v>
      </c>
      <c r="H20" s="2" t="s">
        <v>24</v>
      </c>
    </row>
    <row r="21" spans="1:8" ht="47.25" x14ac:dyDescent="0.25">
      <c r="A21" s="2">
        <v>6</v>
      </c>
      <c r="B21" s="2" t="s">
        <v>26</v>
      </c>
      <c r="C21" s="2" t="s">
        <v>30</v>
      </c>
      <c r="D21" s="2"/>
      <c r="E21" s="2"/>
      <c r="F21" s="6">
        <v>60</v>
      </c>
      <c r="G21" s="2">
        <v>232</v>
      </c>
      <c r="H21" s="2" t="s">
        <v>24</v>
      </c>
    </row>
    <row r="22" spans="1:8" ht="47.25" x14ac:dyDescent="0.25">
      <c r="A22" s="2">
        <v>7</v>
      </c>
      <c r="B22" s="2" t="s">
        <v>26</v>
      </c>
      <c r="C22" s="2" t="s">
        <v>31</v>
      </c>
      <c r="D22" s="2"/>
      <c r="E22" s="2"/>
      <c r="F22" s="6">
        <v>69</v>
      </c>
      <c r="G22" s="2">
        <v>233</v>
      </c>
      <c r="H22" s="2" t="s">
        <v>24</v>
      </c>
    </row>
    <row r="23" spans="1:8" ht="47.25" x14ac:dyDescent="0.25">
      <c r="A23" s="2">
        <v>8</v>
      </c>
      <c r="B23" s="2" t="s">
        <v>26</v>
      </c>
      <c r="C23" s="2" t="s">
        <v>32</v>
      </c>
      <c r="D23" s="2"/>
      <c r="E23" s="2"/>
      <c r="F23" s="6">
        <v>84</v>
      </c>
      <c r="G23" s="2">
        <v>235</v>
      </c>
      <c r="H23" s="2" t="s">
        <v>24</v>
      </c>
    </row>
    <row r="24" spans="1:8" ht="47.25" x14ac:dyDescent="0.25">
      <c r="A24" s="2">
        <v>9</v>
      </c>
      <c r="B24" s="2" t="s">
        <v>26</v>
      </c>
      <c r="C24" s="2" t="s">
        <v>33</v>
      </c>
      <c r="D24" s="2"/>
      <c r="E24" s="2"/>
      <c r="F24" s="6">
        <v>83</v>
      </c>
      <c r="G24" s="2">
        <v>236</v>
      </c>
      <c r="H24" s="2" t="s">
        <v>24</v>
      </c>
    </row>
    <row r="25" spans="1:8" ht="47.25" x14ac:dyDescent="0.25">
      <c r="A25" s="2">
        <v>10</v>
      </c>
      <c r="B25" s="2" t="s">
        <v>26</v>
      </c>
      <c r="C25" s="2" t="s">
        <v>34</v>
      </c>
      <c r="D25" s="2"/>
      <c r="E25" s="2"/>
      <c r="F25" s="6">
        <v>79</v>
      </c>
      <c r="G25" s="2">
        <v>237</v>
      </c>
      <c r="H25" s="2" t="s">
        <v>24</v>
      </c>
    </row>
    <row r="26" spans="1:8" ht="47.25" x14ac:dyDescent="0.25">
      <c r="A26" s="2">
        <v>11</v>
      </c>
      <c r="B26" s="2" t="s">
        <v>26</v>
      </c>
      <c r="C26" s="2" t="s">
        <v>35</v>
      </c>
      <c r="D26" s="2"/>
      <c r="E26" s="2"/>
      <c r="F26" s="6">
        <v>81</v>
      </c>
      <c r="G26" s="2">
        <v>238</v>
      </c>
      <c r="H26" s="2" t="s">
        <v>24</v>
      </c>
    </row>
    <row r="27" spans="1:8" ht="47.25" x14ac:dyDescent="0.25">
      <c r="A27" s="2">
        <v>12</v>
      </c>
      <c r="B27" s="2" t="s">
        <v>26</v>
      </c>
      <c r="C27" s="2" t="s">
        <v>36</v>
      </c>
      <c r="D27" s="2"/>
      <c r="E27" s="2"/>
      <c r="F27" s="6">
        <v>81</v>
      </c>
      <c r="G27" s="2">
        <v>239</v>
      </c>
      <c r="H27" s="2" t="s">
        <v>24</v>
      </c>
    </row>
    <row r="28" spans="1:8" ht="47.25" x14ac:dyDescent="0.25">
      <c r="A28" s="2">
        <v>13</v>
      </c>
      <c r="B28" s="2" t="s">
        <v>26</v>
      </c>
      <c r="C28" s="2" t="s">
        <v>37</v>
      </c>
      <c r="D28" s="2"/>
      <c r="E28" s="2"/>
      <c r="F28" s="6">
        <v>92</v>
      </c>
      <c r="G28" s="2">
        <v>240</v>
      </c>
      <c r="H28" s="2" t="s">
        <v>24</v>
      </c>
    </row>
    <row r="29" spans="1:8" ht="47.25" x14ac:dyDescent="0.25">
      <c r="A29" s="2">
        <v>14</v>
      </c>
      <c r="B29" s="2" t="s">
        <v>26</v>
      </c>
      <c r="C29" s="2" t="s">
        <v>38</v>
      </c>
      <c r="D29" s="2"/>
      <c r="E29" s="2"/>
      <c r="F29" s="6">
        <v>110</v>
      </c>
      <c r="G29" s="2">
        <v>241</v>
      </c>
      <c r="H29" s="2" t="s">
        <v>24</v>
      </c>
    </row>
    <row r="30" spans="1:8" ht="47.25" x14ac:dyDescent="0.25">
      <c r="A30" s="2">
        <v>15</v>
      </c>
      <c r="B30" s="2" t="s">
        <v>26</v>
      </c>
      <c r="C30" s="2" t="s">
        <v>39</v>
      </c>
      <c r="D30" s="2"/>
      <c r="E30" s="2"/>
      <c r="F30" s="6">
        <v>117</v>
      </c>
      <c r="G30" s="2">
        <v>242</v>
      </c>
      <c r="H30" s="2" t="s">
        <v>24</v>
      </c>
    </row>
    <row r="31" spans="1:8" ht="47.25" x14ac:dyDescent="0.25">
      <c r="A31" s="2">
        <v>16</v>
      </c>
      <c r="B31" s="2" t="s">
        <v>26</v>
      </c>
      <c r="C31" s="2" t="s">
        <v>40</v>
      </c>
      <c r="D31" s="2"/>
      <c r="E31" s="2"/>
      <c r="F31" s="6">
        <v>144</v>
      </c>
      <c r="G31" s="2">
        <v>243</v>
      </c>
      <c r="H31" s="2" t="s">
        <v>24</v>
      </c>
    </row>
    <row r="32" spans="1:8" ht="47.25" x14ac:dyDescent="0.25">
      <c r="A32" s="2">
        <v>17</v>
      </c>
      <c r="B32" s="2" t="s">
        <v>26</v>
      </c>
      <c r="C32" s="2" t="s">
        <v>41</v>
      </c>
      <c r="D32" s="2"/>
      <c r="E32" s="2"/>
      <c r="F32" s="6">
        <v>131</v>
      </c>
      <c r="G32" s="2">
        <v>244</v>
      </c>
      <c r="H32" s="2" t="s">
        <v>24</v>
      </c>
    </row>
    <row r="33" spans="1:8" ht="47.25" x14ac:dyDescent="0.25">
      <c r="A33" s="2">
        <v>18</v>
      </c>
      <c r="B33" s="2" t="s">
        <v>26</v>
      </c>
      <c r="C33" s="2" t="s">
        <v>42</v>
      </c>
      <c r="D33" s="2"/>
      <c r="E33" s="2"/>
      <c r="F33" s="6">
        <v>191</v>
      </c>
      <c r="G33" s="2">
        <v>246</v>
      </c>
      <c r="H33" s="2" t="s">
        <v>24</v>
      </c>
    </row>
    <row r="34" spans="1:8" ht="47.25" x14ac:dyDescent="0.25">
      <c r="A34" s="2">
        <v>19</v>
      </c>
      <c r="B34" s="2" t="s">
        <v>26</v>
      </c>
      <c r="C34" s="2" t="s">
        <v>43</v>
      </c>
      <c r="D34" s="2"/>
      <c r="E34" s="2"/>
      <c r="F34" s="6">
        <v>221</v>
      </c>
      <c r="G34" s="2">
        <v>248</v>
      </c>
      <c r="H34" s="2" t="s">
        <v>24</v>
      </c>
    </row>
    <row r="35" spans="1:8" ht="47.25" x14ac:dyDescent="0.25">
      <c r="A35" s="2">
        <v>20</v>
      </c>
      <c r="B35" s="2" t="s">
        <v>26</v>
      </c>
      <c r="C35" s="2" t="s">
        <v>44</v>
      </c>
      <c r="D35" s="2"/>
      <c r="E35" s="2"/>
      <c r="F35" s="6">
        <v>282</v>
      </c>
      <c r="G35" s="2">
        <v>250</v>
      </c>
      <c r="H35" s="2" t="s">
        <v>24</v>
      </c>
    </row>
    <row r="37" spans="1:8" ht="21.95" customHeight="1" x14ac:dyDescent="0.25">
      <c r="A37" s="8" t="s">
        <v>45</v>
      </c>
      <c r="B37" s="9"/>
      <c r="C37" s="9"/>
      <c r="D37" s="9"/>
      <c r="E37" s="9"/>
      <c r="F37" s="9"/>
      <c r="G37" s="9"/>
      <c r="H37" s="9"/>
    </row>
    <row r="38" spans="1:8" ht="32.1" customHeight="1" x14ac:dyDescent="0.25">
      <c r="A38" s="1" t="s">
        <v>14</v>
      </c>
      <c r="B38" s="1" t="s">
        <v>15</v>
      </c>
      <c r="C38" s="1" t="s">
        <v>16</v>
      </c>
      <c r="D38" s="1" t="s">
        <v>17</v>
      </c>
      <c r="E38" s="1" t="s">
        <v>18</v>
      </c>
      <c r="F38" s="1" t="s">
        <v>19</v>
      </c>
      <c r="G38" s="1" t="s">
        <v>20</v>
      </c>
      <c r="H38" s="1" t="s">
        <v>21</v>
      </c>
    </row>
    <row r="39" spans="1:8" ht="15.75" x14ac:dyDescent="0.25">
      <c r="A39" s="2">
        <v>1</v>
      </c>
      <c r="B39" s="2" t="s">
        <v>46</v>
      </c>
      <c r="C39" s="2" t="s">
        <v>47</v>
      </c>
      <c r="D39" s="2">
        <v>0.25</v>
      </c>
      <c r="E39" s="2">
        <v>1500</v>
      </c>
      <c r="F39" s="6">
        <v>160.33000000000001</v>
      </c>
      <c r="G39" s="2"/>
      <c r="H39" s="2" t="s">
        <v>48</v>
      </c>
    </row>
    <row r="40" spans="1:8" ht="15.75" x14ac:dyDescent="0.25">
      <c r="A40" s="2">
        <v>2</v>
      </c>
      <c r="B40" s="2" t="s">
        <v>49</v>
      </c>
      <c r="C40" s="2" t="s">
        <v>50</v>
      </c>
      <c r="D40" s="2"/>
      <c r="E40" s="2"/>
      <c r="F40" s="6">
        <v>196.23</v>
      </c>
      <c r="G40" s="2"/>
      <c r="H40" s="2" t="s">
        <v>48</v>
      </c>
    </row>
    <row r="41" spans="1:8" ht="15.75" x14ac:dyDescent="0.25">
      <c r="A41" s="2">
        <v>3</v>
      </c>
      <c r="B41" s="2" t="s">
        <v>49</v>
      </c>
      <c r="C41" s="2" t="s">
        <v>51</v>
      </c>
      <c r="D41" s="2"/>
      <c r="E41" s="2"/>
      <c r="F41" s="6">
        <v>264.39</v>
      </c>
      <c r="G41" s="2"/>
      <c r="H41" s="2" t="s">
        <v>48</v>
      </c>
    </row>
    <row r="42" spans="1:8" ht="15.75" x14ac:dyDescent="0.25">
      <c r="A42" s="2">
        <v>4</v>
      </c>
      <c r="B42" s="2" t="s">
        <v>49</v>
      </c>
      <c r="C42" s="2" t="s">
        <v>52</v>
      </c>
      <c r="D42" s="2"/>
      <c r="E42" s="2"/>
      <c r="F42" s="6">
        <v>375.06</v>
      </c>
      <c r="G42" s="2"/>
      <c r="H42" s="2" t="s">
        <v>48</v>
      </c>
    </row>
    <row r="43" spans="1:8" ht="15.75" x14ac:dyDescent="0.25">
      <c r="A43" s="2">
        <v>5</v>
      </c>
      <c r="B43" s="2" t="s">
        <v>53</v>
      </c>
      <c r="C43" s="2" t="s">
        <v>54</v>
      </c>
      <c r="D43" s="2"/>
      <c r="E43" s="2"/>
      <c r="F43" s="6">
        <v>206</v>
      </c>
      <c r="G43" s="2"/>
      <c r="H43" s="2" t="s">
        <v>48</v>
      </c>
    </row>
    <row r="44" spans="1:8" ht="15.75" x14ac:dyDescent="0.25">
      <c r="A44" s="2">
        <v>6</v>
      </c>
      <c r="B44" s="2" t="s">
        <v>53</v>
      </c>
      <c r="C44" s="2" t="s">
        <v>55</v>
      </c>
      <c r="D44" s="2"/>
      <c r="E44" s="2"/>
      <c r="F44" s="6">
        <v>432</v>
      </c>
      <c r="G44" s="2"/>
      <c r="H44" s="2" t="s">
        <v>48</v>
      </c>
    </row>
    <row r="45" spans="1:8" ht="15.75" x14ac:dyDescent="0.25">
      <c r="A45" s="2">
        <v>7</v>
      </c>
      <c r="B45" s="2" t="s">
        <v>53</v>
      </c>
      <c r="C45" s="2" t="s">
        <v>56</v>
      </c>
      <c r="D45" s="2"/>
      <c r="E45" s="2"/>
      <c r="F45" s="6">
        <v>608</v>
      </c>
      <c r="G45" s="2"/>
      <c r="H45" s="2" t="s">
        <v>48</v>
      </c>
    </row>
    <row r="46" spans="1:8" ht="15.75" x14ac:dyDescent="0.25">
      <c r="A46" s="2">
        <v>8</v>
      </c>
      <c r="B46" s="2" t="s">
        <v>57</v>
      </c>
      <c r="C46" s="2" t="s">
        <v>58</v>
      </c>
      <c r="D46" s="2"/>
      <c r="E46" s="2"/>
      <c r="F46" s="6">
        <v>222</v>
      </c>
      <c r="G46" s="2"/>
      <c r="H46" s="2" t="s">
        <v>48</v>
      </c>
    </row>
    <row r="47" spans="1:8" ht="15.75" x14ac:dyDescent="0.25">
      <c r="A47" s="2">
        <v>9</v>
      </c>
      <c r="B47" s="2" t="s">
        <v>57</v>
      </c>
      <c r="C47" s="2" t="s">
        <v>59</v>
      </c>
      <c r="D47" s="2"/>
      <c r="E47" s="2"/>
      <c r="F47" s="6">
        <v>307</v>
      </c>
      <c r="G47" s="2"/>
      <c r="H47" s="2" t="s">
        <v>48</v>
      </c>
    </row>
    <row r="48" spans="1:8" ht="15.75" x14ac:dyDescent="0.25">
      <c r="A48" s="2">
        <v>10</v>
      </c>
      <c r="B48" s="2" t="s">
        <v>57</v>
      </c>
      <c r="C48" s="2" t="s">
        <v>60</v>
      </c>
      <c r="D48" s="2"/>
      <c r="E48" s="2"/>
      <c r="F48" s="6">
        <v>353</v>
      </c>
      <c r="G48" s="2"/>
      <c r="H48" s="2" t="s">
        <v>48</v>
      </c>
    </row>
    <row r="49" spans="1:8" ht="15.75" x14ac:dyDescent="0.25">
      <c r="A49" s="2">
        <v>11</v>
      </c>
      <c r="B49" s="2" t="s">
        <v>57</v>
      </c>
      <c r="C49" s="2" t="s">
        <v>61</v>
      </c>
      <c r="D49" s="2"/>
      <c r="E49" s="2"/>
      <c r="F49" s="6">
        <v>506</v>
      </c>
      <c r="G49" s="2"/>
      <c r="H49" s="2" t="s">
        <v>48</v>
      </c>
    </row>
    <row r="51" spans="1:8" ht="21.95" customHeight="1" x14ac:dyDescent="0.25">
      <c r="A51" s="8" t="s">
        <v>62</v>
      </c>
      <c r="B51" s="9"/>
      <c r="C51" s="9"/>
      <c r="D51" s="9"/>
      <c r="E51" s="9"/>
      <c r="F51" s="9"/>
      <c r="G51" s="9"/>
      <c r="H51" s="9"/>
    </row>
    <row r="52" spans="1:8" ht="32.1" customHeight="1" x14ac:dyDescent="0.25">
      <c r="A52" s="1" t="s">
        <v>14</v>
      </c>
      <c r="B52" s="1" t="s">
        <v>15</v>
      </c>
      <c r="C52" s="1" t="s">
        <v>16</v>
      </c>
      <c r="D52" s="1" t="s">
        <v>17</v>
      </c>
      <c r="E52" s="1" t="s">
        <v>18</v>
      </c>
      <c r="F52" s="1" t="s">
        <v>19</v>
      </c>
      <c r="G52" s="1" t="s">
        <v>20</v>
      </c>
      <c r="H52" s="1" t="s">
        <v>21</v>
      </c>
    </row>
    <row r="53" spans="1:8" ht="15.75" x14ac:dyDescent="0.25">
      <c r="A53" s="2">
        <v>1</v>
      </c>
      <c r="B53" s="2" t="s">
        <v>63</v>
      </c>
      <c r="C53" s="2" t="s">
        <v>64</v>
      </c>
      <c r="D53" s="2">
        <v>0.37</v>
      </c>
      <c r="E53" s="2">
        <v>1500</v>
      </c>
      <c r="F53" s="6">
        <v>174.51</v>
      </c>
      <c r="G53" s="2"/>
      <c r="H53" s="2" t="s">
        <v>48</v>
      </c>
    </row>
    <row r="54" spans="1:8" ht="15.75" x14ac:dyDescent="0.25">
      <c r="A54" s="2">
        <v>2</v>
      </c>
      <c r="B54" s="2" t="s">
        <v>63</v>
      </c>
      <c r="C54" s="2" t="s">
        <v>65</v>
      </c>
      <c r="D54" s="2">
        <v>1.1000000000000001</v>
      </c>
      <c r="E54" s="2">
        <v>3000</v>
      </c>
      <c r="F54" s="6">
        <v>235.14</v>
      </c>
      <c r="G54" s="2"/>
      <c r="H54" s="2" t="s">
        <v>48</v>
      </c>
    </row>
    <row r="55" spans="1:8" ht="15.75" x14ac:dyDescent="0.25">
      <c r="A55" s="2">
        <v>3</v>
      </c>
      <c r="B55" s="2" t="s">
        <v>63</v>
      </c>
      <c r="C55" s="2" t="s">
        <v>66</v>
      </c>
      <c r="D55" s="2">
        <v>0.25</v>
      </c>
      <c r="E55" s="2">
        <v>1000</v>
      </c>
      <c r="F55" s="6">
        <v>260.52</v>
      </c>
      <c r="G55" s="2"/>
      <c r="H55" s="2" t="s">
        <v>48</v>
      </c>
    </row>
    <row r="56" spans="1:8" ht="15.75" x14ac:dyDescent="0.25">
      <c r="A56" s="2">
        <v>4</v>
      </c>
      <c r="B56" s="2" t="s">
        <v>63</v>
      </c>
      <c r="C56" s="2" t="s">
        <v>67</v>
      </c>
      <c r="D56" s="2">
        <v>5.5</v>
      </c>
      <c r="E56" s="2">
        <v>1000</v>
      </c>
      <c r="F56" s="6">
        <v>1326.23</v>
      </c>
      <c r="G56" s="2"/>
      <c r="H56" s="2" t="s">
        <v>48</v>
      </c>
    </row>
    <row r="57" spans="1:8" ht="15.75" x14ac:dyDescent="0.25">
      <c r="A57" s="2">
        <v>5</v>
      </c>
      <c r="B57" s="2" t="s">
        <v>63</v>
      </c>
      <c r="C57" s="2" t="s">
        <v>68</v>
      </c>
      <c r="D57" s="2">
        <v>5.5</v>
      </c>
      <c r="E57" s="2">
        <v>750</v>
      </c>
      <c r="F57" s="6">
        <v>2038.11</v>
      </c>
      <c r="G57" s="2"/>
      <c r="H57" s="2" t="s">
        <v>48</v>
      </c>
    </row>
    <row r="58" spans="1:8" ht="15.75" x14ac:dyDescent="0.25">
      <c r="A58" s="2">
        <v>6</v>
      </c>
      <c r="B58" s="2" t="s">
        <v>63</v>
      </c>
      <c r="C58" s="2" t="s">
        <v>69</v>
      </c>
      <c r="D58" s="2">
        <v>15</v>
      </c>
      <c r="E58" s="2">
        <v>750</v>
      </c>
      <c r="F58" s="6">
        <v>3811.15</v>
      </c>
      <c r="G58" s="2"/>
      <c r="H58" s="2" t="s">
        <v>48</v>
      </c>
    </row>
    <row r="60" spans="1:8" ht="21.95" customHeight="1" x14ac:dyDescent="0.25">
      <c r="A60" s="8" t="s">
        <v>70</v>
      </c>
      <c r="B60" s="9"/>
      <c r="C60" s="9"/>
      <c r="D60" s="9"/>
      <c r="E60" s="9"/>
      <c r="F60" s="9"/>
      <c r="G60" s="9"/>
      <c r="H60" s="9"/>
    </row>
    <row r="61" spans="1:8" ht="32.1" customHeight="1" x14ac:dyDescent="0.25">
      <c r="A61" s="1" t="s">
        <v>14</v>
      </c>
      <c r="B61" s="1" t="s">
        <v>15</v>
      </c>
      <c r="C61" s="1" t="s">
        <v>16</v>
      </c>
      <c r="D61" s="1" t="s">
        <v>17</v>
      </c>
      <c r="E61" s="1" t="s">
        <v>18</v>
      </c>
      <c r="F61" s="1" t="s">
        <v>19</v>
      </c>
      <c r="G61" s="1" t="s">
        <v>20</v>
      </c>
      <c r="H61" s="1" t="s">
        <v>21</v>
      </c>
    </row>
    <row r="62" spans="1:8" ht="15.75" x14ac:dyDescent="0.25">
      <c r="A62" s="2">
        <v>1</v>
      </c>
      <c r="B62" s="2" t="s">
        <v>71</v>
      </c>
      <c r="C62" s="2" t="s">
        <v>72</v>
      </c>
      <c r="D62" s="2"/>
      <c r="E62" s="2"/>
      <c r="F62" s="7"/>
      <c r="G62" s="2"/>
      <c r="H62" s="2" t="s">
        <v>73</v>
      </c>
    </row>
    <row r="63" spans="1:8" ht="15.75" x14ac:dyDescent="0.25">
      <c r="A63" s="2">
        <v>2</v>
      </c>
      <c r="B63" s="2" t="s">
        <v>71</v>
      </c>
      <c r="C63" s="2" t="s">
        <v>74</v>
      </c>
      <c r="D63" s="2"/>
      <c r="E63" s="2"/>
      <c r="F63" s="7"/>
      <c r="G63" s="2"/>
      <c r="H63" s="2" t="s">
        <v>73</v>
      </c>
    </row>
    <row r="64" spans="1:8" ht="15.75" x14ac:dyDescent="0.25">
      <c r="A64" s="2">
        <v>3</v>
      </c>
      <c r="B64" s="2" t="s">
        <v>53</v>
      </c>
      <c r="C64" s="2" t="s">
        <v>75</v>
      </c>
      <c r="D64" s="2"/>
      <c r="E64" s="2"/>
      <c r="F64" s="7"/>
      <c r="G64" s="2"/>
      <c r="H64" s="2" t="s">
        <v>73</v>
      </c>
    </row>
    <row r="65" spans="1:8" ht="15.75" x14ac:dyDescent="0.25">
      <c r="A65" s="2">
        <v>4</v>
      </c>
      <c r="B65" s="2" t="s">
        <v>22</v>
      </c>
      <c r="C65" s="2" t="s">
        <v>76</v>
      </c>
      <c r="D65" s="2"/>
      <c r="E65" s="2"/>
      <c r="F65" s="7"/>
      <c r="G65" s="2"/>
      <c r="H65" s="2" t="s">
        <v>73</v>
      </c>
    </row>
    <row r="66" spans="1:8" ht="15.75" x14ac:dyDescent="0.25">
      <c r="A66" s="2">
        <v>5</v>
      </c>
      <c r="B66" s="2" t="s">
        <v>22</v>
      </c>
      <c r="C66" s="2" t="s">
        <v>77</v>
      </c>
      <c r="D66" s="2"/>
      <c r="E66" s="2"/>
      <c r="F66" s="7"/>
      <c r="G66" s="2"/>
      <c r="H66" s="2" t="s">
        <v>73</v>
      </c>
    </row>
    <row r="67" spans="1:8" ht="15.75" x14ac:dyDescent="0.25">
      <c r="A67" s="2">
        <v>6</v>
      </c>
      <c r="B67" s="2" t="s">
        <v>22</v>
      </c>
      <c r="C67" s="2" t="s">
        <v>78</v>
      </c>
      <c r="D67" s="2"/>
      <c r="E67" s="2"/>
      <c r="F67" s="7"/>
      <c r="G67" s="2"/>
      <c r="H67" s="2" t="s">
        <v>73</v>
      </c>
    </row>
    <row r="68" spans="1:8" ht="15.75" x14ac:dyDescent="0.25">
      <c r="A68" s="2">
        <v>7</v>
      </c>
      <c r="B68" s="2" t="s">
        <v>22</v>
      </c>
      <c r="C68" s="2" t="s">
        <v>79</v>
      </c>
      <c r="D68" s="2"/>
      <c r="E68" s="2"/>
      <c r="F68" s="7"/>
      <c r="G68" s="2"/>
      <c r="H68" s="2" t="s">
        <v>73</v>
      </c>
    </row>
    <row r="69" spans="1:8" ht="15.75" x14ac:dyDescent="0.25">
      <c r="A69" s="2">
        <v>8</v>
      </c>
      <c r="B69" s="2" t="s">
        <v>22</v>
      </c>
      <c r="C69" s="2" t="s">
        <v>80</v>
      </c>
      <c r="D69" s="2"/>
      <c r="E69" s="2"/>
      <c r="F69" s="7"/>
      <c r="G69" s="2"/>
      <c r="H69" s="2" t="s">
        <v>73</v>
      </c>
    </row>
    <row r="70" spans="1:8" ht="15.75" x14ac:dyDescent="0.25">
      <c r="A70" s="2">
        <v>9</v>
      </c>
      <c r="B70" s="2" t="s">
        <v>22</v>
      </c>
      <c r="C70" s="2" t="s">
        <v>81</v>
      </c>
      <c r="D70" s="2"/>
      <c r="E70" s="2"/>
      <c r="F70" s="7"/>
      <c r="G70" s="2"/>
      <c r="H70" s="2" t="s">
        <v>73</v>
      </c>
    </row>
    <row r="71" spans="1:8" ht="15.75" x14ac:dyDescent="0.25">
      <c r="A71" s="2">
        <v>10</v>
      </c>
      <c r="B71" s="2" t="s">
        <v>22</v>
      </c>
      <c r="C71" s="2" t="s">
        <v>82</v>
      </c>
      <c r="D71" s="2"/>
      <c r="E71" s="2"/>
      <c r="F71" s="7"/>
      <c r="G71" s="2"/>
      <c r="H71" s="2" t="s">
        <v>73</v>
      </c>
    </row>
    <row r="72" spans="1:8" ht="15.75" x14ac:dyDescent="0.25">
      <c r="A72" s="2">
        <v>11</v>
      </c>
      <c r="B72" s="2" t="s">
        <v>57</v>
      </c>
      <c r="C72" s="2" t="s">
        <v>83</v>
      </c>
      <c r="D72" s="2"/>
      <c r="E72" s="2"/>
      <c r="F72" s="7"/>
      <c r="G72" s="2"/>
      <c r="H72" s="2" t="s">
        <v>73</v>
      </c>
    </row>
    <row r="73" spans="1:8" ht="15.75" x14ac:dyDescent="0.25">
      <c r="A73" s="2">
        <v>12</v>
      </c>
      <c r="B73" s="2" t="s">
        <v>57</v>
      </c>
      <c r="C73" s="2" t="s">
        <v>84</v>
      </c>
      <c r="D73" s="2"/>
      <c r="E73" s="2"/>
      <c r="F73" s="7"/>
      <c r="G73" s="2"/>
      <c r="H73" s="2" t="s">
        <v>73</v>
      </c>
    </row>
    <row r="74" spans="1:8" ht="15.75" x14ac:dyDescent="0.25">
      <c r="A74" s="2">
        <v>13</v>
      </c>
      <c r="B74" s="2" t="s">
        <v>57</v>
      </c>
      <c r="C74" s="2" t="s">
        <v>85</v>
      </c>
      <c r="D74" s="2"/>
      <c r="E74" s="2"/>
      <c r="F74" s="7"/>
      <c r="G74" s="2"/>
      <c r="H74" s="2" t="s">
        <v>73</v>
      </c>
    </row>
    <row r="75" spans="1:8" ht="15.75" x14ac:dyDescent="0.25">
      <c r="A75" s="2">
        <v>14</v>
      </c>
      <c r="B75" s="2" t="s">
        <v>57</v>
      </c>
      <c r="C75" s="2" t="s">
        <v>86</v>
      </c>
      <c r="D75" s="2"/>
      <c r="E75" s="2"/>
      <c r="F75" s="7"/>
      <c r="G75" s="2"/>
      <c r="H75" s="2" t="s">
        <v>73</v>
      </c>
    </row>
    <row r="76" spans="1:8" ht="15.75" x14ac:dyDescent="0.25">
      <c r="A76" s="2">
        <v>15</v>
      </c>
      <c r="B76" s="2" t="s">
        <v>57</v>
      </c>
      <c r="C76" s="2" t="s">
        <v>87</v>
      </c>
      <c r="D76" s="2"/>
      <c r="E76" s="2"/>
      <c r="F76" s="7"/>
      <c r="G76" s="2"/>
      <c r="H76" s="2" t="s">
        <v>73</v>
      </c>
    </row>
    <row r="77" spans="1:8" ht="15.75" x14ac:dyDescent="0.25">
      <c r="A77" s="2">
        <v>16</v>
      </c>
      <c r="B77" s="2" t="s">
        <v>26</v>
      </c>
      <c r="C77" s="2" t="s">
        <v>88</v>
      </c>
      <c r="D77" s="2"/>
      <c r="E77" s="2"/>
      <c r="F77" s="7"/>
      <c r="G77" s="2"/>
      <c r="H77" s="2" t="s">
        <v>73</v>
      </c>
    </row>
    <row r="78" spans="1:8" ht="15.75" x14ac:dyDescent="0.25">
      <c r="A78" s="2">
        <v>17</v>
      </c>
      <c r="B78" s="2" t="s">
        <v>26</v>
      </c>
      <c r="C78" s="2" t="s">
        <v>89</v>
      </c>
      <c r="D78" s="2"/>
      <c r="E78" s="2"/>
      <c r="F78" s="7"/>
      <c r="G78" s="2"/>
      <c r="H78" s="2" t="s">
        <v>73</v>
      </c>
    </row>
    <row r="79" spans="1:8" ht="15.75" x14ac:dyDescent="0.25">
      <c r="A79" s="2">
        <v>18</v>
      </c>
      <c r="B79" s="2" t="s">
        <v>26</v>
      </c>
      <c r="C79" s="2" t="s">
        <v>90</v>
      </c>
      <c r="D79" s="2"/>
      <c r="E79" s="2"/>
      <c r="F79" s="7"/>
      <c r="G79" s="2"/>
      <c r="H79" s="2" t="s">
        <v>73</v>
      </c>
    </row>
    <row r="80" spans="1:8" ht="15.75" x14ac:dyDescent="0.25">
      <c r="A80" s="2">
        <v>19</v>
      </c>
      <c r="B80" s="2" t="s">
        <v>26</v>
      </c>
      <c r="C80" s="2" t="s">
        <v>91</v>
      </c>
      <c r="D80" s="2"/>
      <c r="E80" s="2"/>
      <c r="F80" s="7"/>
      <c r="G80" s="2"/>
      <c r="H80" s="2" t="s">
        <v>73</v>
      </c>
    </row>
    <row r="81" spans="1:8" ht="15.75" x14ac:dyDescent="0.25">
      <c r="A81" s="2">
        <v>20</v>
      </c>
      <c r="B81" s="2" t="s">
        <v>26</v>
      </c>
      <c r="C81" s="2" t="s">
        <v>92</v>
      </c>
      <c r="D81" s="2"/>
      <c r="E81" s="2"/>
      <c r="F81" s="7"/>
      <c r="G81" s="2"/>
      <c r="H81" s="2" t="s">
        <v>73</v>
      </c>
    </row>
    <row r="82" spans="1:8" ht="15.75" x14ac:dyDescent="0.25">
      <c r="A82" s="2">
        <v>21</v>
      </c>
      <c r="B82" s="2" t="s">
        <v>26</v>
      </c>
      <c r="C82" s="2" t="s">
        <v>93</v>
      </c>
      <c r="D82" s="2"/>
      <c r="E82" s="2"/>
      <c r="F82" s="7"/>
      <c r="G82" s="2"/>
      <c r="H82" s="2" t="s">
        <v>73</v>
      </c>
    </row>
    <row r="83" spans="1:8" ht="15.75" x14ac:dyDescent="0.25">
      <c r="A83" s="2">
        <v>22</v>
      </c>
      <c r="B83" s="2" t="s">
        <v>26</v>
      </c>
      <c r="C83" s="2" t="s">
        <v>94</v>
      </c>
      <c r="D83" s="2"/>
      <c r="E83" s="2"/>
      <c r="F83" s="7"/>
      <c r="G83" s="2"/>
      <c r="H83" s="2" t="s">
        <v>73</v>
      </c>
    </row>
    <row r="85" spans="1:8" ht="21.95" customHeight="1" x14ac:dyDescent="0.25">
      <c r="A85" s="8" t="s">
        <v>95</v>
      </c>
      <c r="B85" s="9"/>
      <c r="C85" s="9"/>
      <c r="D85" s="9"/>
      <c r="E85" s="9"/>
      <c r="F85" s="9"/>
      <c r="G85" s="9"/>
      <c r="H85" s="9"/>
    </row>
    <row r="86" spans="1:8" ht="32.1" customHeight="1" x14ac:dyDescent="0.25">
      <c r="A86" s="1" t="s">
        <v>14</v>
      </c>
      <c r="B86" s="1" t="s">
        <v>96</v>
      </c>
      <c r="C86" s="1" t="s">
        <v>97</v>
      </c>
      <c r="D86" s="1" t="s">
        <v>98</v>
      </c>
      <c r="E86" s="1"/>
      <c r="F86" s="1"/>
      <c r="G86" s="1"/>
      <c r="H86" s="1" t="s">
        <v>21</v>
      </c>
    </row>
    <row r="87" spans="1:8" ht="47.25" x14ac:dyDescent="0.25">
      <c r="A87" s="2">
        <v>1</v>
      </c>
      <c r="B87" s="2" t="s">
        <v>99</v>
      </c>
      <c r="C87" s="2">
        <v>2</v>
      </c>
      <c r="D87" s="2" t="s">
        <v>100</v>
      </c>
      <c r="E87" s="2"/>
      <c r="F87" s="2"/>
      <c r="G87" s="2"/>
      <c r="H87" s="2" t="s">
        <v>101</v>
      </c>
    </row>
    <row r="88" spans="1:8" ht="47.25" x14ac:dyDescent="0.25">
      <c r="A88" s="2">
        <v>2</v>
      </c>
      <c r="B88" s="2" t="s">
        <v>102</v>
      </c>
      <c r="C88" s="2">
        <v>2</v>
      </c>
      <c r="D88" s="2" t="s">
        <v>103</v>
      </c>
      <c r="E88" s="2"/>
      <c r="F88" s="2"/>
      <c r="G88" s="2"/>
      <c r="H88" s="2" t="s">
        <v>101</v>
      </c>
    </row>
    <row r="89" spans="1:8" ht="47.25" x14ac:dyDescent="0.25">
      <c r="A89" s="2">
        <v>3</v>
      </c>
      <c r="B89" s="2" t="s">
        <v>104</v>
      </c>
      <c r="C89" s="2">
        <v>2</v>
      </c>
      <c r="D89" s="2" t="s">
        <v>105</v>
      </c>
      <c r="E89" s="2"/>
      <c r="F89" s="2"/>
      <c r="G89" s="2"/>
      <c r="H89" s="2" t="s">
        <v>101</v>
      </c>
    </row>
    <row r="90" spans="1:8" ht="47.25" x14ac:dyDescent="0.25">
      <c r="A90" s="2">
        <v>4</v>
      </c>
      <c r="B90" s="2" t="s">
        <v>106</v>
      </c>
      <c r="C90" s="2">
        <v>2</v>
      </c>
      <c r="D90" s="2" t="s">
        <v>107</v>
      </c>
      <c r="E90" s="2"/>
      <c r="F90" s="2"/>
      <c r="G90" s="2"/>
      <c r="H90" s="2" t="s">
        <v>101</v>
      </c>
    </row>
    <row r="91" spans="1:8" ht="47.25" x14ac:dyDescent="0.25">
      <c r="A91" s="2">
        <v>5</v>
      </c>
      <c r="B91" s="2" t="s">
        <v>108</v>
      </c>
      <c r="C91" s="2">
        <v>2</v>
      </c>
      <c r="D91" s="2" t="s">
        <v>109</v>
      </c>
      <c r="E91" s="2"/>
      <c r="F91" s="2"/>
      <c r="G91" s="2"/>
      <c r="H91" s="2" t="s">
        <v>101</v>
      </c>
    </row>
    <row r="92" spans="1:8" ht="47.25" x14ac:dyDescent="0.25">
      <c r="A92" s="2">
        <v>6</v>
      </c>
      <c r="B92" s="2" t="s">
        <v>110</v>
      </c>
      <c r="C92" s="2">
        <v>2</v>
      </c>
      <c r="D92" s="2" t="s">
        <v>111</v>
      </c>
      <c r="E92" s="2"/>
      <c r="F92" s="2"/>
      <c r="G92" s="2"/>
      <c r="H92" s="2" t="s">
        <v>101</v>
      </c>
    </row>
    <row r="93" spans="1:8" ht="47.25" x14ac:dyDescent="0.25">
      <c r="A93" s="2">
        <v>7</v>
      </c>
      <c r="B93" s="2" t="s">
        <v>112</v>
      </c>
      <c r="C93" s="2">
        <v>2</v>
      </c>
      <c r="D93" s="2" t="s">
        <v>113</v>
      </c>
      <c r="E93" s="2"/>
      <c r="F93" s="2"/>
      <c r="G93" s="2"/>
      <c r="H93" s="2" t="s">
        <v>101</v>
      </c>
    </row>
    <row r="94" spans="1:8" ht="47.25" x14ac:dyDescent="0.25">
      <c r="A94" s="2">
        <v>8</v>
      </c>
      <c r="B94" s="2" t="s">
        <v>114</v>
      </c>
      <c r="C94" s="2">
        <v>2</v>
      </c>
      <c r="D94" s="2" t="s">
        <v>115</v>
      </c>
      <c r="E94" s="2"/>
      <c r="F94" s="2"/>
      <c r="G94" s="2"/>
      <c r="H94" s="2" t="s">
        <v>101</v>
      </c>
    </row>
    <row r="95" spans="1:8" ht="47.25" x14ac:dyDescent="0.25">
      <c r="A95" s="2">
        <v>9</v>
      </c>
      <c r="B95" s="2" t="s">
        <v>116</v>
      </c>
      <c r="C95" s="2">
        <v>3</v>
      </c>
      <c r="D95" s="2" t="s">
        <v>117</v>
      </c>
      <c r="E95" s="2"/>
      <c r="F95" s="2"/>
      <c r="G95" s="2"/>
      <c r="H95" s="2" t="s">
        <v>101</v>
      </c>
    </row>
  </sheetData>
  <mergeCells count="10">
    <mergeCell ref="A51:H51"/>
    <mergeCell ref="A85:H85"/>
    <mergeCell ref="A60:H60"/>
    <mergeCell ref="A14:H14"/>
    <mergeCell ref="A1:H1"/>
    <mergeCell ref="A37:H37"/>
    <mergeCell ref="A6:H6"/>
    <mergeCell ref="A4:H4"/>
    <mergeCell ref="A3:H3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Qo'shilmagan narxlar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2026-08-18T07:52:00Z</dcterms:created>
  <dcterms:modified xsi:type="dcterms:W3CDTF">2026-08-18T08:12:16Z</dcterms:modified>
</cp:coreProperties>
</file>